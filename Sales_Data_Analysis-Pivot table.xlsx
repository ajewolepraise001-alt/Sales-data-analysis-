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2390" windowHeight="7050" activeTab="2"/>
  </bookViews>
  <sheets>
    <sheet name="Sheet2" sheetId="2" r:id="rId1"/>
    <sheet name="Sheet4" sheetId="5" r:id="rId2"/>
    <sheet name="Sheet5" sheetId="6" r:id="rId3"/>
    <sheet name="Sheet1" sheetId="1" r:id="rId4"/>
    <sheet name="Sheet1 (2)" sheetId="4" r:id="rId5"/>
    <sheet name="Sheet3" sheetId="3" r:id="rId6"/>
  </sheets>
  <definedNames/>
  <calcPr calcId="191029"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<sst xmlns="http://schemas.openxmlformats.org/spreadsheetml/2006/main" uniqueCount="39" count="39">
  <si>
    <t>H1</t>
  </si>
  <si>
    <t>Values</t>
  </si>
  <si>
    <t>(blank)</t>
  </si>
  <si>
    <t>Total Sum of H1</t>
  </si>
  <si>
    <t>Total Sum of H1_2</t>
  </si>
  <si>
    <t>C1</t>
  </si>
  <si>
    <t>G1</t>
  </si>
  <si>
    <t>Sum of H1</t>
  </si>
  <si>
    <t>Sum of H1_2</t>
  </si>
  <si>
    <t>BREAD</t>
  </si>
  <si>
    <t>IBADAN</t>
  </si>
  <si>
    <t>LAGOS</t>
  </si>
  <si>
    <t>LAPTOP</t>
  </si>
  <si>
    <t>ABUJA</t>
  </si>
  <si>
    <t>MILK</t>
  </si>
  <si>
    <t>PHONE</t>
  </si>
  <si>
    <t>PRODUCT</t>
  </si>
  <si>
    <t>LOCATION</t>
  </si>
  <si>
    <t>RICE</t>
  </si>
  <si>
    <t>Grand Total</t>
  </si>
  <si>
    <t>A1</t>
  </si>
  <si>
    <t>DATE</t>
  </si>
  <si>
    <t>B1</t>
  </si>
  <si>
    <t>D1</t>
  </si>
  <si>
    <t>E1</t>
  </si>
  <si>
    <t>F1</t>
  </si>
  <si>
    <t xml:space="preserve">SALESPERSON </t>
  </si>
  <si>
    <t>CATEGORY</t>
  </si>
  <si>
    <t>QUANTITY</t>
  </si>
  <si>
    <t>UNITPRICE</t>
  </si>
  <si>
    <t>UNIT PRICE</t>
  </si>
  <si>
    <t>JOHN</t>
  </si>
  <si>
    <t>FOOD</t>
  </si>
  <si>
    <t>MARY</t>
  </si>
  <si>
    <t>DAVID</t>
  </si>
  <si>
    <t>ELECTRONICS</t>
  </si>
  <si>
    <t>SARAH</t>
  </si>
  <si>
    <t>A</t>
  </si>
  <si>
    <t>B</t>
  </si>
</sst>
</file>

<file path=xl/styles.xml><?xml version="1.0" encoding="utf-8"?>
<styleSheet xmlns="http://schemas.openxmlformats.org/spreadsheetml/2006/main">
  <numFmts count="2">
    <numFmt numFmtId="0" formatCode="General"/>
    <numFmt numFmtId="58" formatCode="m/d/yyyy"/>
  </numFmts>
  <fonts count="2">
    <font>
      <name val="Calibri"/>
      <sz val="11"/>
    </font>
    <font>
      <name val="Calibri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Border="1">
      <alignment vertical="center"/>
    </xf>
    <xf numFmtId="0" fontId="1" fillId="0" borderId="2" xfId="0" applyBorder="1">
      <alignment vertical="center"/>
    </xf>
    <xf numFmtId="0" fontId="1" fillId="0" borderId="3" xfId="0" applyBorder="1">
      <alignment vertical="center"/>
    </xf>
    <xf numFmtId="0" fontId="1" fillId="0" borderId="4" xfId="0" applyBorder="1">
      <alignment vertical="center"/>
    </xf>
    <xf numFmtId="0" fontId="1" fillId="0" borderId="5" xfId="0" applyBorder="1">
      <alignment vertical="center"/>
    </xf>
    <xf numFmtId="0" fontId="1" fillId="0" borderId="6" xfId="0" applyBorder="1">
      <alignment vertical="center"/>
    </xf>
    <xf numFmtId="0" fontId="1" fillId="0" borderId="7" xfId="0" applyBorder="1">
      <alignment vertical="center"/>
    </xf>
    <xf numFmtId="0" fontId="1" fillId="0" borderId="8" xfId="0" applyBorder="1">
      <alignment vertical="center"/>
    </xf>
    <xf numFmtId="0" fontId="1" fillId="0" borderId="9" xfId="0" applyBorder="1">
      <alignment vertical="center"/>
    </xf>
    <xf numFmtId="58" fontId="1" fillId="0" borderId="0" xfId="0" applyNumberFormat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3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customXml" Target="../customXml/item1.xml"/><Relationship Id="rId15" Type="http://schemas.openxmlformats.org/officeDocument/2006/relationships/customXml" Target="../customXml/item2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USER" refreshedDate="46254.6038078704" createdVersion="5" refreshedVersion="5" minRefreshableVersion="3" recordCount="14">
  <cacheSource type="worksheet">
    <worksheetSource ref="A1:H1048576" sheet="Sheet1"/>
  </cacheSource>
  <cacheFields count="8">
    <cacheField name="A1" numFmtId="0">
      <sharedItems containsNonDate="0" containsDate="1" containsBlank="1" containsMixedTypes="1" minDate="2026-01-08T00:00:00" maxDate="2026-10-08T00:00:00" count="12">
        <s v="DATE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m/>
      </sharedItems>
    </cacheField>
    <cacheField name="B1" numFmtId="0">
      <sharedItems containsBlank="1" count="6">
        <s v="SALESPERSON "/>
        <s v="JOHN"/>
        <s v="MARY"/>
        <s v="DAVID"/>
        <s v="SARAH"/>
        <m/>
      </sharedItems>
    </cacheField>
    <cacheField name="C1" numFmtId="0">
      <sharedItems containsBlank="1" count="7">
        <s v="PRODUCT"/>
        <s v="RICE"/>
        <s v="MILK"/>
        <s v="PHONE"/>
        <s v="LAPTOP"/>
        <s v="BREAD"/>
        <m/>
      </sharedItems>
    </cacheField>
    <cacheField name="D1" numFmtId="0">
      <sharedItems containsBlank="1" count="4">
        <s v="CATEGORY"/>
        <s v="FOOD"/>
        <s v="ELECTRONICS"/>
        <m/>
      </sharedItems>
    </cacheField>
    <cacheField name="E1" numFmtId="0">
      <sharedItems containsBlank="1" containsMixedTypes="1" containsNumber="1" containsInteger="1" minValue="1" maxValue="20" count="11">
        <s v="QUANTITY"/>
        <n v="5"/>
        <n v="10"/>
        <n v="2"/>
        <n v="1"/>
        <n v="15"/>
        <n v="3"/>
        <n v="8"/>
        <n v="12"/>
        <n v="20"/>
        <m/>
      </sharedItems>
    </cacheField>
    <cacheField name="F1" numFmtId="0">
      <sharedItems containsBlank="1" containsMixedTypes="1" containsNumber="1" containsInteger="1" minValue="1500" maxValue="450000" count="8">
        <s v="UNITPRICE"/>
        <n v="25000"/>
        <n v="3000"/>
        <n v="150000"/>
        <n v="450000"/>
        <n v="1500"/>
        <n v="120000"/>
        <m/>
      </sharedItems>
    </cacheField>
    <cacheField name="G1" numFmtId="0">
      <sharedItems containsBlank="1" count="5">
        <s v="LOCATION"/>
        <s v="LAGOS"/>
        <s v="IBADAN"/>
        <s v="ABUJA"/>
        <m/>
      </sharedItems>
    </cacheField>
    <cacheField name="H1" numFmtId="0">
      <sharedItems containsString="0" containsBlank="1" containsNumber="1" minValue="0" maxValue="2423500" count="12">
        <m/>
        <n v="125000"/>
        <n v="30000"/>
        <n v="300000"/>
        <n v="450000"/>
        <n v="22500"/>
        <n v="360000"/>
        <n v="200000"/>
        <n v="36000"/>
        <n v="900000"/>
        <n v="2423500"/>
        <n v="269277.777777778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:id="rId1" refreshedBy="USER" refreshedDate="46256.3146759259" createdVersion="5" refreshedVersion="5" minRefreshableVersion="3" recordCount="1">
  <cacheSource type="worksheet">
    <worksheetSource ref="L2:M3" sheet="Sheet1"/>
  </cacheSource>
  <cacheFields count="2">
    <cacheField name="PRODUCT" numFmtId="0">
      <sharedItems count="1">
        <s v="LAPTOP"/>
      </sharedItems>
    </cacheField>
    <cacheField name="UNIT PRICE" numFmtId="0">
      <sharedItems containsSemiMixedTypes="0" containsString="0" containsNumber="1" containsInteger="1" minValue="0" maxValue="450000" count="1">
        <n v="450000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:id="rId1" refreshedBy="USER" refreshedDate="46256.3168402778" createdVersion="5" refreshedVersion="5" minRefreshableVersion="3" recordCount="16">
  <cacheSource type="worksheet">
    <worksheetSource ref="A1:H17" sheet="Sheet1"/>
  </cacheSource>
  <cacheFields count="8">
    <cacheField name="A1" numFmtId="0">
      <sharedItems containsNonDate="0" containsDate="1" containsBlank="1" containsMixedTypes="1" minDate="2026-01-08T00:00:00" maxDate="2026-10-08T00:00:00" count="12">
        <s v="DATE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m/>
      </sharedItems>
    </cacheField>
    <cacheField name="B1" numFmtId="0">
      <sharedItems containsBlank="1" count="6">
        <s v="SALESPERSON "/>
        <s v="JOHN"/>
        <s v="MARY"/>
        <s v="DAVID"/>
        <s v="SARAH"/>
        <m/>
      </sharedItems>
    </cacheField>
    <cacheField name="C1" numFmtId="0">
      <sharedItems containsBlank="1" count="7">
        <s v="PRODUCT"/>
        <s v="RICE"/>
        <s v="MILK"/>
        <s v="PHONE"/>
        <s v="LAPTOP"/>
        <s v="BREAD"/>
        <m/>
      </sharedItems>
    </cacheField>
    <cacheField name="D1" numFmtId="0">
      <sharedItems containsBlank="1" count="4">
        <s v="CATEGORY"/>
        <s v="FOOD"/>
        <s v="ELECTRONICS"/>
        <m/>
      </sharedItems>
    </cacheField>
    <cacheField name="E1" numFmtId="0">
      <sharedItems containsBlank="1" containsMixedTypes="1" containsNumber="1" containsInteger="1" minValue="1" maxValue="20" count="11">
        <s v="QUANTITY"/>
        <n v="5"/>
        <n v="10"/>
        <n v="2"/>
        <n v="1"/>
        <n v="15"/>
        <n v="3"/>
        <n v="8"/>
        <n v="12"/>
        <n v="20"/>
        <m/>
      </sharedItems>
    </cacheField>
    <cacheField name="F1" numFmtId="0">
      <sharedItems containsBlank="1" containsMixedTypes="1" containsNumber="1" containsInteger="1" minValue="1500" maxValue="450000" count="8">
        <s v="UNITPRICE"/>
        <n v="25000"/>
        <n v="3000"/>
        <n v="150000"/>
        <n v="450000"/>
        <n v="1500"/>
        <n v="120000"/>
        <m/>
      </sharedItems>
    </cacheField>
    <cacheField name="G1" numFmtId="0">
      <sharedItems containsBlank="1" count="5">
        <s v="LOCATION"/>
        <s v="LAGOS"/>
        <s v="IBADAN"/>
        <s v="ABUJA"/>
        <m/>
      </sharedItems>
    </cacheField>
    <cacheField name="H1" numFmtId="0">
      <sharedItems containsString="0" containsBlank="1" containsNumber="1" minValue="0" maxValue="2423500" count="15">
        <m/>
        <n v="125000"/>
        <n v="30000"/>
        <n v="300000"/>
        <n v="450000"/>
        <n v="22500"/>
        <n v="360000"/>
        <n v="200000"/>
        <n v="36000"/>
        <n v="900000"/>
        <n v="2423500"/>
        <n v="269277.777777778"/>
        <n v="3"/>
        <n v="1047500"/>
        <n v="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  <r>
    <x v="2147483647"/>
    <x v="2147483647"/>
    <x v="2147483647"/>
    <x v="2147483647"/>
    <x v="2147483647"/>
    <x v="2147483647"/>
    <x v="2147483647"/>
    <x v="21474836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1"/>
    <x v="2"/>
    <x v="2"/>
    <x v="2"/>
    <x v="2"/>
  </r>
  <r>
    <x v="3"/>
    <x v="3"/>
    <x v="3"/>
    <x v="2"/>
    <x v="3"/>
    <x v="3"/>
    <x v="1"/>
    <x v="3"/>
  </r>
  <r>
    <x v="4"/>
    <x v="4"/>
    <x v="4"/>
    <x v="2"/>
    <x v="4"/>
    <x v="4"/>
    <x v="3"/>
    <x v="4"/>
  </r>
  <r>
    <x v="5"/>
    <x v="1"/>
    <x v="5"/>
    <x v="1"/>
    <x v="5"/>
    <x v="5"/>
    <x v="1"/>
    <x v="5"/>
  </r>
  <r>
    <x v="6"/>
    <x v="2"/>
    <x v="3"/>
    <x v="2"/>
    <x v="6"/>
    <x v="6"/>
    <x v="2"/>
    <x v="6"/>
  </r>
  <r>
    <x v="7"/>
    <x v="3"/>
    <x v="1"/>
    <x v="1"/>
    <x v="7"/>
    <x v="1"/>
    <x v="3"/>
    <x v="7"/>
  </r>
  <r>
    <x v="8"/>
    <x v="4"/>
    <x v="2"/>
    <x v="1"/>
    <x v="8"/>
    <x v="2"/>
    <x v="1"/>
    <x v="8"/>
  </r>
  <r>
    <x v="9"/>
    <x v="1"/>
    <x v="4"/>
    <x v="2"/>
    <x v="3"/>
    <x v="4"/>
    <x v="1"/>
    <x v="9"/>
  </r>
  <r>
    <x v="10"/>
    <x v="2"/>
    <x v="5"/>
    <x v="1"/>
    <x v="9"/>
    <x v="5"/>
    <x v="2"/>
    <x v="2"/>
  </r>
  <r>
    <x v="11"/>
    <x v="5"/>
    <x v="6"/>
    <x v="3"/>
    <x v="10"/>
    <x v="7"/>
    <x v="4"/>
    <x v="10"/>
  </r>
  <r>
    <x v="11"/>
    <x v="5"/>
    <x v="6"/>
    <x v="3"/>
    <x v="10"/>
    <x v="7"/>
    <x v="4"/>
    <x v="11"/>
  </r>
  <r>
    <x v="11"/>
    <x v="5"/>
    <x v="6"/>
    <x v="3"/>
    <x v="10"/>
    <x v="7"/>
    <x v="4"/>
    <x v="12"/>
  </r>
  <r>
    <x v="11"/>
    <x v="5"/>
    <x v="6"/>
    <x v="3"/>
    <x v="10"/>
    <x v="7"/>
    <x v="4"/>
    <x v="13"/>
  </r>
  <r>
    <x v="11"/>
    <x v="5"/>
    <x v="6"/>
    <x v="3"/>
    <x v="10"/>
    <x v="7"/>
    <x v="4"/>
    <x v="1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showDrill="1" useAutoFormatting="1" createdVersion="5" indent="0" compact="0" outline="1" outlineData="1" compactData="0" multipleFieldFilters="0">
  <location ref="A3:X25" firstHeaderRow="1" firstDataRow="3" firstDataCol="2"/>
  <pivotFields count="8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7">
        <item x="3"/>
        <item x="1"/>
        <item x="2"/>
        <item x="0"/>
        <item x="4"/>
        <item x="5"/>
        <item t="default"/>
      </items>
    </pivotField>
    <pivotField axis="axisRow" compact="0" showAll="0">
      <items count="8">
        <item x="5"/>
        <item x="4"/>
        <item x="2"/>
        <item x="3"/>
        <item x="0"/>
        <item x="1"/>
        <item x="6"/>
        <item t="default"/>
      </items>
    </pivotField>
    <pivotField compact="0" showAll="0"/>
    <pivotField compact="0" showAll="0"/>
    <pivotField compact="0" showAll="0"/>
    <pivotField axis="axisRow" compact="0" showAll="0">
      <items count="6">
        <item x="3"/>
        <item x="2"/>
        <item x="1"/>
        <item x="0"/>
        <item x="4"/>
        <item t="default"/>
      </items>
    </pivotField>
    <pivotField axis="axisCol" dataField="1" compact="0" multipleItemSelectionAllowed="1" showAll="0">
      <items count="13">
        <item x="5"/>
        <item x="2"/>
        <item x="8"/>
        <item x="1"/>
        <item x="7"/>
        <item h="1" x="11"/>
        <item x="3"/>
        <item x="6"/>
        <item x="4"/>
        <item x="9"/>
        <item h="1" x="10"/>
        <item x="0"/>
        <item t="default"/>
      </items>
    </pivotField>
  </pivotFields>
  <rowFields count="2">
    <field x="2"/>
    <field x="6"/>
  </rowFields>
  <rowItems count="20">
    <i>
      <x/>
    </i>
    <i r="1">
      <x v="1"/>
    </i>
    <i r="1">
      <x v="2"/>
    </i>
    <i>
      <x v="1"/>
    </i>
    <i r="1">
      <x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3"/>
    </i>
    <i>
      <x v="5"/>
    </i>
    <i r="1">
      <x/>
    </i>
    <i r="1">
      <x v="2"/>
    </i>
    <i>
      <x v="6"/>
    </i>
    <i r="1">
      <x v="4"/>
    </i>
    <i t="grand">
      <x/>
    </i>
  </rowItems>
  <colFields count="2">
    <field x="7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1"/>
      <x/>
    </i>
    <i r="1" i="1">
      <x v="1"/>
    </i>
    <i t="grand">
      <x/>
    </i>
    <i t="grand" i="1">
      <x/>
    </i>
  </colItems>
  <dataFields count="2">
    <dataField name="Sum of H1" fld="7" baseField="0" baseItem="0"/>
    <dataField name="Sum of H1_2" fld="7" baseField="0" baseItem="0"/>
  </dataFields>
  <pivotTableStyleInfo name="PivotStylePreset2_Accent1" showColHeaders="1" showColStripes="0" showLastColumn="0" showRowHeaders="1" showRowStripes="0"/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showDrill="1" useAutoFormatting="1" createdVersion="5" indent="0" compact="0" outline="1" outlineData="1" compactData="0" multipleFieldFilters="0">
  <location ref="A3:C20" firstHeaderRow="1" firstDataRow="1" firstDataCol="0"/>
  <pivotFields count="2">
    <pivotField compact="0" showAll="0"/>
    <pivotField compact="0" showAll="0"/>
  </pivotFields>
  <pivotTableStyleInfo name="PivotStylePreset2_Accent1" showColHeaders="1" showColStripes="0" showLastColumn="0" showRowHeaders="1" showRowStripes="0"/>
</pivotTableDefinition>
</file>

<file path=xl/pivotTables/pivotTable3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showDrill="1" useAutoFormatting="1" createdVersion="5" indent="0" compact="0" outline="1" outlineData="1" compactData="0" multipleFieldFilters="0">
  <location ref="A3:B16" firstHeaderRow="1" firstDataRow="1" firstDataCol="1"/>
  <pivotFields count="8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">
        <item x="14"/>
        <item x="12"/>
        <item x="5"/>
        <item x="2"/>
        <item x="8"/>
        <item x="1"/>
        <item x="7"/>
        <item x="11"/>
        <item x="3"/>
        <item x="6"/>
        <item x="4"/>
        <item x="9"/>
        <item x="13"/>
        <item x="10"/>
        <item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H1" fld="7" baseField="0" baseItem="0"/>
  </dataFields>
  <pivotTableStyleInfo name="PivotStylePreset2_Accent1" showColHeaders="1" showColStripes="0" showLastColumn="0" showRowHeaders="1" showRowStripes="0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Y25"/>
  <sheetViews>
    <sheetView workbookViewId="0" topLeftCell="T1" zoomScale="47">
      <selection activeCell="F17" sqref="F17"/>
    </sheetView>
  </sheetViews>
  <sheetFormatPr defaultRowHeight="15.0" defaultColWidth="9"/>
  <cols>
    <col min="1" max="1" customWidth="0" width="12.140625" style="0"/>
    <col min="2" max="2" customWidth="0" width="10.855469" style="0"/>
    <col min="3" max="22" customWidth="0" width="12.7109375" style="0"/>
    <col min="23" max="23" customWidth="0" width="16.0" style="0"/>
    <col min="24" max="24" customWidth="0" width="18.140625" style="0"/>
  </cols>
  <sheetData>
    <row r="3" spans="8:8">
      <c r="C3" t="s">
        <v>0</v>
      </c>
      <c r="D3" t="s">
        <v>1</v>
      </c>
    </row>
    <row r="4" spans="8:8">
      <c r="C4">
        <v>22500.0</v>
      </c>
      <c r="E4">
        <v>30000.0</v>
      </c>
      <c r="G4">
        <v>36000.0</v>
      </c>
      <c r="I4">
        <v>125000.0</v>
      </c>
      <c r="K4">
        <v>200000.0</v>
      </c>
      <c r="M4">
        <v>300000.0</v>
      </c>
      <c r="O4">
        <v>360000.0</v>
      </c>
      <c r="Q4">
        <v>450000.0</v>
      </c>
      <c r="S4">
        <v>900000.0</v>
      </c>
      <c r="U4" t="s">
        <v>2</v>
      </c>
      <c r="W4" t="s">
        <v>3</v>
      </c>
      <c r="X4" t="s">
        <v>4</v>
      </c>
    </row>
    <row r="5" spans="8:8">
      <c r="A5" t="s">
        <v>5</v>
      </c>
      <c r="B5" t="s">
        <v>6</v>
      </c>
      <c r="C5" t="s">
        <v>7</v>
      </c>
      <c r="D5" t="s">
        <v>8</v>
      </c>
      <c r="E5" t="s">
        <v>7</v>
      </c>
      <c r="F5" t="s">
        <v>8</v>
      </c>
      <c r="G5" t="s">
        <v>7</v>
      </c>
      <c r="H5" t="s">
        <v>8</v>
      </c>
      <c r="I5" t="s">
        <v>7</v>
      </c>
      <c r="J5" t="s">
        <v>8</v>
      </c>
      <c r="K5" t="s">
        <v>7</v>
      </c>
      <c r="L5" t="s">
        <v>8</v>
      </c>
      <c r="M5" t="s">
        <v>7</v>
      </c>
      <c r="N5" t="s">
        <v>8</v>
      </c>
      <c r="O5" t="s">
        <v>7</v>
      </c>
      <c r="P5" t="s">
        <v>8</v>
      </c>
      <c r="Q5" t="s">
        <v>7</v>
      </c>
      <c r="R5" t="s">
        <v>8</v>
      </c>
      <c r="S5" t="s">
        <v>7</v>
      </c>
      <c r="T5" t="s">
        <v>8</v>
      </c>
      <c r="U5" t="s">
        <v>7</v>
      </c>
      <c r="V5" t="s">
        <v>8</v>
      </c>
    </row>
    <row r="6" spans="8:8">
      <c r="A6" t="s">
        <v>9</v>
      </c>
      <c r="C6">
        <v>22500.0</v>
      </c>
      <c r="D6">
        <v>22500.0</v>
      </c>
      <c r="E6">
        <v>30000.0</v>
      </c>
      <c r="F6">
        <v>30000.0</v>
      </c>
      <c r="W6">
        <v>52500.0</v>
      </c>
      <c r="X6">
        <v>52500.0</v>
      </c>
    </row>
    <row r="7" spans="8:8">
      <c r="B7" t="s">
        <v>10</v>
      </c>
      <c r="E7">
        <v>30000.0</v>
      </c>
      <c r="F7">
        <v>30000.0</v>
      </c>
      <c r="W7">
        <v>30000.0</v>
      </c>
      <c r="X7">
        <v>30000.0</v>
      </c>
    </row>
    <row r="8" spans="8:8">
      <c r="B8" t="s">
        <v>11</v>
      </c>
      <c r="C8">
        <v>22500.0</v>
      </c>
      <c r="D8">
        <v>22500.0</v>
      </c>
      <c r="W8">
        <v>22500.0</v>
      </c>
      <c r="X8">
        <v>22500.0</v>
      </c>
    </row>
    <row r="9" spans="8:8">
      <c r="A9" t="s">
        <v>12</v>
      </c>
      <c r="Q9">
        <v>450000.0</v>
      </c>
      <c r="R9">
        <v>450000.0</v>
      </c>
      <c r="S9">
        <v>900000.0</v>
      </c>
      <c r="T9">
        <v>900000.0</v>
      </c>
      <c r="W9">
        <v>1350000.0</v>
      </c>
      <c r="X9">
        <v>1350000.0</v>
      </c>
    </row>
    <row r="10" spans="8:8">
      <c r="B10" t="s">
        <v>13</v>
      </c>
      <c r="Q10">
        <v>450000.0</v>
      </c>
      <c r="R10">
        <v>450000.0</v>
      </c>
      <c r="W10">
        <v>450000.0</v>
      </c>
      <c r="X10">
        <v>450000.0</v>
      </c>
    </row>
    <row r="11" spans="8:8">
      <c r="B11" t="s">
        <v>11</v>
      </c>
      <c r="S11">
        <v>900000.0</v>
      </c>
      <c r="T11">
        <v>900000.0</v>
      </c>
      <c r="W11">
        <v>900000.0</v>
      </c>
      <c r="X11">
        <v>900000.0</v>
      </c>
    </row>
    <row r="12" spans="8:8">
      <c r="A12" t="s">
        <v>14</v>
      </c>
      <c r="E12">
        <v>30000.0</v>
      </c>
      <c r="F12">
        <v>30000.0</v>
      </c>
      <c r="G12">
        <v>36000.0</v>
      </c>
      <c r="H12">
        <v>36000.0</v>
      </c>
      <c r="W12">
        <v>66000.0</v>
      </c>
      <c r="X12">
        <v>66000.0</v>
      </c>
    </row>
    <row r="13" spans="8:8">
      <c r="B13" t="s">
        <v>10</v>
      </c>
      <c r="E13">
        <v>30000.0</v>
      </c>
      <c r="F13">
        <v>30000.0</v>
      </c>
      <c r="W13">
        <v>30000.0</v>
      </c>
      <c r="X13">
        <v>30000.0</v>
      </c>
    </row>
    <row r="14" spans="8:8">
      <c r="B14" t="s">
        <v>11</v>
      </c>
      <c r="G14">
        <v>36000.0</v>
      </c>
      <c r="H14">
        <v>36000.0</v>
      </c>
      <c r="W14">
        <v>36000.0</v>
      </c>
      <c r="X14">
        <v>36000.0</v>
      </c>
    </row>
    <row r="15" spans="8:8">
      <c r="A15" t="s">
        <v>15</v>
      </c>
      <c r="M15">
        <v>300000.0</v>
      </c>
      <c r="N15">
        <v>300000.0</v>
      </c>
      <c r="O15">
        <v>360000.0</v>
      </c>
      <c r="P15">
        <v>360000.0</v>
      </c>
      <c r="W15">
        <v>660000.0</v>
      </c>
      <c r="X15">
        <v>660000.0</v>
      </c>
    </row>
    <row r="16" spans="8:8">
      <c r="B16" t="s">
        <v>10</v>
      </c>
      <c r="O16">
        <v>360000.0</v>
      </c>
      <c r="P16">
        <v>360000.0</v>
      </c>
      <c r="W16">
        <v>360000.0</v>
      </c>
      <c r="X16">
        <v>360000.0</v>
      </c>
    </row>
    <row r="17" spans="8:8">
      <c r="B17" t="s">
        <v>11</v>
      </c>
      <c r="M17">
        <v>300000.0</v>
      </c>
      <c r="N17">
        <v>300000.0</v>
      </c>
      <c r="W17">
        <v>300000.0</v>
      </c>
      <c r="X17">
        <v>300000.0</v>
      </c>
    </row>
    <row r="18" spans="8:8">
      <c r="A18" t="s">
        <v>16</v>
      </c>
    </row>
    <row r="19" spans="8:8">
      <c r="B19" t="s">
        <v>17</v>
      </c>
    </row>
    <row r="20" spans="8:8">
      <c r="A20" t="s">
        <v>18</v>
      </c>
      <c r="I20">
        <v>125000.0</v>
      </c>
      <c r="J20">
        <v>125000.0</v>
      </c>
      <c r="K20">
        <v>200000.0</v>
      </c>
      <c r="L20">
        <v>200000.0</v>
      </c>
      <c r="W20">
        <v>325000.0</v>
      </c>
      <c r="X20">
        <v>325000.0</v>
      </c>
    </row>
    <row r="21" spans="8:8">
      <c r="B21" t="s">
        <v>13</v>
      </c>
      <c r="K21">
        <v>200000.0</v>
      </c>
      <c r="L21">
        <v>200000.0</v>
      </c>
      <c r="W21">
        <v>200000.0</v>
      </c>
      <c r="X21">
        <v>200000.0</v>
      </c>
    </row>
    <row r="22" spans="8:8">
      <c r="B22" t="s">
        <v>11</v>
      </c>
      <c r="I22">
        <v>125000.0</v>
      </c>
      <c r="J22">
        <v>125000.0</v>
      </c>
      <c r="W22">
        <v>125000.0</v>
      </c>
      <c r="X22">
        <v>125000.0</v>
      </c>
    </row>
    <row r="23" spans="8:8">
      <c r="A23" t="s">
        <v>2</v>
      </c>
    </row>
    <row r="24" spans="8:8">
      <c r="B24" t="s">
        <v>2</v>
      </c>
    </row>
    <row r="25" spans="8:8">
      <c r="A25" t="s">
        <v>19</v>
      </c>
      <c r="C25">
        <v>22500.0</v>
      </c>
      <c r="D25">
        <v>22500.0</v>
      </c>
      <c r="E25">
        <v>60000.0</v>
      </c>
      <c r="F25">
        <v>60000.0</v>
      </c>
      <c r="G25">
        <v>36000.0</v>
      </c>
      <c r="H25">
        <v>36000.0</v>
      </c>
      <c r="I25">
        <v>125000.0</v>
      </c>
      <c r="J25">
        <v>125000.0</v>
      </c>
      <c r="K25">
        <v>200000.0</v>
      </c>
      <c r="L25">
        <v>200000.0</v>
      </c>
      <c r="M25">
        <v>300000.0</v>
      </c>
      <c r="N25">
        <v>300000.0</v>
      </c>
      <c r="O25">
        <v>360000.0</v>
      </c>
      <c r="P25">
        <v>360000.0</v>
      </c>
      <c r="Q25">
        <v>450000.0</v>
      </c>
      <c r="R25">
        <v>450000.0</v>
      </c>
      <c r="S25">
        <v>900000.0</v>
      </c>
      <c r="T25">
        <v>900000.0</v>
      </c>
      <c r="W25">
        <v>2453500.0</v>
      </c>
      <c r="X25">
        <v>2453500.0</v>
      </c>
    </row>
  </sheetData>
  <sheetProtection sheet="0" formatCells="0" insertHyperlinks="0" autoFilter="0"/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2:D20"/>
  <sheetViews>
    <sheetView workbookViewId="0" zoomScale="66">
      <selection activeCell="A9" sqref="A8:A9"/>
    </sheetView>
  </sheetViews>
  <sheetFormatPr defaultRowHeight="15.0" defaultColWidth="9" outlineLevelCol="2"/>
  <sheetData>
    <row r="3" spans="8:8">
      <c r="A3" s="1"/>
      <c r="B3" s="2"/>
      <c r="C3" s="3"/>
    </row>
    <row r="4" spans="8:8">
      <c r="A4" s="4"/>
      <c r="B4" s="5"/>
      <c r="C4" s="6"/>
    </row>
    <row r="5" spans="8:8">
      <c r="A5" s="4"/>
      <c r="B5" s="5"/>
      <c r="C5" s="6"/>
    </row>
    <row r="6" spans="8:8">
      <c r="A6" s="4"/>
      <c r="B6" s="5"/>
      <c r="C6" s="6"/>
    </row>
    <row r="7" spans="8:8">
      <c r="A7" s="4"/>
      <c r="B7" s="5"/>
      <c r="C7" s="6"/>
    </row>
    <row r="8" spans="8:8">
      <c r="A8" s="4"/>
      <c r="B8" s="5"/>
      <c r="C8" s="6"/>
    </row>
    <row r="9" spans="8:8">
      <c r="A9" s="4"/>
      <c r="B9" s="5"/>
      <c r="C9" s="6"/>
    </row>
    <row r="10" spans="8:8">
      <c r="A10" s="4"/>
      <c r="B10" s="5"/>
      <c r="C10" s="6"/>
    </row>
    <row r="11" spans="8:8">
      <c r="A11" s="4"/>
      <c r="B11" s="5"/>
      <c r="C11" s="6"/>
    </row>
    <row r="12" spans="8:8">
      <c r="A12" s="4"/>
      <c r="B12" s="5"/>
      <c r="C12" s="6"/>
    </row>
    <row r="13" spans="8:8">
      <c r="A13" s="4"/>
      <c r="B13" s="5"/>
      <c r="C13" s="6"/>
    </row>
    <row r="14" spans="8:8">
      <c r="A14" s="4"/>
      <c r="B14" s="5"/>
      <c r="C14" s="6"/>
    </row>
    <row r="15" spans="8:8">
      <c r="A15" s="4"/>
      <c r="B15" s="5"/>
      <c r="C15" s="6"/>
    </row>
    <row r="16" spans="8:8">
      <c r="A16" s="4"/>
      <c r="B16" s="5"/>
      <c r="C16" s="6"/>
    </row>
    <row r="17" spans="8:8">
      <c r="A17" s="4"/>
      <c r="B17" s="5"/>
      <c r="C17" s="6"/>
    </row>
    <row r="18" spans="8:8">
      <c r="A18" s="4"/>
      <c r="B18" s="5"/>
      <c r="C18" s="6"/>
    </row>
    <row r="19" spans="8:8">
      <c r="A19" s="4"/>
      <c r="B19" s="5"/>
      <c r="C19" s="6"/>
    </row>
    <row r="20" spans="8:8">
      <c r="A20" s="7"/>
      <c r="B20" s="8"/>
      <c r="C20" s="9"/>
    </row>
  </sheetData>
  <sheetProtection sheet="0" formatCells="0" insertHyperlinks="0" autoFilter="0"/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2:C16"/>
  <sheetViews>
    <sheetView tabSelected="1" workbookViewId="0" zoomScale="82">
      <selection activeCell="B3" sqref="B3"/>
    </sheetView>
  </sheetViews>
  <sheetFormatPr defaultRowHeight="15.0" defaultColWidth="9"/>
  <cols>
    <col min="1" max="1" customWidth="0" width="12.140625" style="0"/>
    <col min="2" max="14" customWidth="0" width="12.855469" style="0"/>
  </cols>
  <sheetData>
    <row r="3" spans="8:8">
      <c r="A3" t="s">
        <v>20</v>
      </c>
      <c r="B3" t="s">
        <v>7</v>
      </c>
    </row>
    <row r="4" spans="8:8">
      <c r="A4" t="s">
        <v>21</v>
      </c>
    </row>
    <row r="5" spans="8:8">
      <c r="A5" s="10">
        <v>46030.0</v>
      </c>
      <c r="B5">
        <v>125000.0</v>
      </c>
    </row>
    <row r="6" spans="8:8">
      <c r="A6" s="10">
        <v>46061.0</v>
      </c>
      <c r="B6">
        <v>30000.0</v>
      </c>
    </row>
    <row r="7" spans="8:8">
      <c r="A7" s="10">
        <v>46089.0</v>
      </c>
      <c r="B7">
        <v>300000.0</v>
      </c>
    </row>
    <row r="8" spans="8:8">
      <c r="A8" s="10">
        <v>46120.0</v>
      </c>
      <c r="B8">
        <v>450000.0</v>
      </c>
    </row>
    <row r="9" spans="8:8">
      <c r="A9" s="10">
        <v>46150.0</v>
      </c>
      <c r="B9">
        <v>22500.0</v>
      </c>
    </row>
    <row r="10" spans="8:8">
      <c r="A10" s="10">
        <v>46181.0</v>
      </c>
      <c r="B10">
        <v>360000.0</v>
      </c>
    </row>
    <row r="11" spans="8:8">
      <c r="A11" s="10">
        <v>46211.0</v>
      </c>
      <c r="B11">
        <v>200000.0</v>
      </c>
    </row>
    <row r="12" spans="8:8">
      <c r="A12" s="10">
        <v>46242.0</v>
      </c>
      <c r="B12">
        <v>36000.0</v>
      </c>
    </row>
    <row r="13" spans="8:8">
      <c r="A13" s="10">
        <v>46273.0</v>
      </c>
      <c r="B13">
        <v>900000.0</v>
      </c>
    </row>
    <row r="14" spans="8:8">
      <c r="A14" s="10">
        <v>46303.0</v>
      </c>
      <c r="B14">
        <v>30000.0</v>
      </c>
    </row>
    <row r="15" spans="8:8">
      <c r="A15" t="s">
        <v>2</v>
      </c>
      <c r="B15">
        <v>3740282.77777778</v>
      </c>
    </row>
    <row r="16" spans="8:8">
      <c r="A16" t="s">
        <v>19</v>
      </c>
      <c r="B16">
        <v>6193782.77777778</v>
      </c>
    </row>
  </sheetData>
  <sheetProtection sheet="0" formatCells="0" insertHyperlinks="0" autoFilter="0"/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N17"/>
  <sheetViews>
    <sheetView workbookViewId="0" topLeftCell="E1">
      <selection activeCell="A3" sqref="A3"/>
    </sheetView>
  </sheetViews>
  <sheetFormatPr defaultRowHeight="15.0" defaultColWidth="9"/>
  <cols>
    <col min="1" max="1" customWidth="0" width="10.285156" style="0"/>
    <col min="8" max="8" customWidth="0" width="12.855469" style="0"/>
    <col min="11" max="11" customWidth="0" width="12.855469" style="0"/>
  </cols>
  <sheetData>
    <row r="1" spans="8:8">
      <c r="A1" t="s">
        <v>20</v>
      </c>
      <c r="B1" t="s">
        <v>22</v>
      </c>
      <c r="C1" t="s">
        <v>5</v>
      </c>
      <c r="D1" t="s">
        <v>23</v>
      </c>
      <c r="E1" t="s">
        <v>24</v>
      </c>
      <c r="F1" t="s">
        <v>25</v>
      </c>
      <c r="G1" t="s">
        <v>6</v>
      </c>
      <c r="H1" t="s">
        <v>0</v>
      </c>
    </row>
    <row r="2" spans="8:8">
      <c r="A2" t="s">
        <v>21</v>
      </c>
      <c r="B2" t="s">
        <v>26</v>
      </c>
      <c r="C2" t="s">
        <v>16</v>
      </c>
      <c r="D2" t="s">
        <v>27</v>
      </c>
      <c r="E2" t="s">
        <v>28</v>
      </c>
      <c r="F2" t="s">
        <v>29</v>
      </c>
      <c r="G2" t="s">
        <v>17</v>
      </c>
      <c r="L2" t="s">
        <v>16</v>
      </c>
      <c r="M2" t="s">
        <v>30</v>
      </c>
    </row>
    <row r="3" spans="8:8">
      <c r="A3" s="10">
        <v>46030.0</v>
      </c>
      <c r="B3" t="s">
        <v>31</v>
      </c>
      <c r="C3" t="s">
        <v>18</v>
      </c>
      <c r="D3" t="s">
        <v>32</v>
      </c>
      <c r="E3">
        <v>5.0</v>
      </c>
      <c r="F3">
        <v>25000.0</v>
      </c>
      <c r="G3" t="s">
        <v>11</v>
      </c>
      <c r="H3">
        <f>E3*F3</f>
        <v>125000.0</v>
      </c>
      <c r="I3" t="str">
        <f>IF(H3&gt;=300000,"HIGH","LOW")</f>
        <v>LOW</v>
      </c>
      <c r="J3">
        <f>VLOOKUP(C3,Sheet3!$A$2:$B$7,2,0)</f>
        <v>25000.0</v>
      </c>
      <c r="L3" t="s">
        <v>12</v>
      </c>
      <c r="M3">
        <f>_xlfn.XLOOKUP(L3,Sheet3!$A$2:$A$7,Sheet3!$B$2:$B$7)</f>
        <v>450000.0</v>
      </c>
    </row>
    <row r="4" spans="8:8">
      <c r="A4" s="10">
        <v>46061.0</v>
      </c>
      <c r="B4" t="s">
        <v>33</v>
      </c>
      <c r="C4" t="s">
        <v>14</v>
      </c>
      <c r="D4" t="s">
        <v>32</v>
      </c>
      <c r="E4">
        <v>10.0</v>
      </c>
      <c r="F4">
        <v>3000.0</v>
      </c>
      <c r="G4" t="s">
        <v>10</v>
      </c>
      <c r="H4">
        <f t="shared" si="0" ref="H4:H12">E4*F4</f>
        <v>30000.0</v>
      </c>
      <c r="I4" t="str">
        <f t="shared" si="1" ref="I4:I12">IF(H4&gt;=300000,"HIGH","LOW")</f>
        <v>LOW</v>
      </c>
      <c r="J4">
        <f>VLOOKUP(C4,Sheet3!$A$2:$B$7,2,0)</f>
        <v>3000.0</v>
      </c>
    </row>
    <row r="5" spans="8:8">
      <c r="A5" s="10">
        <v>46089.0</v>
      </c>
      <c r="B5" t="s">
        <v>34</v>
      </c>
      <c r="C5" t="s">
        <v>15</v>
      </c>
      <c r="D5" t="s">
        <v>35</v>
      </c>
      <c r="E5">
        <v>2.0</v>
      </c>
      <c r="F5">
        <v>150000.0</v>
      </c>
      <c r="G5" t="s">
        <v>11</v>
      </c>
      <c r="H5">
        <f t="shared" si="0"/>
        <v>300000.0</v>
      </c>
      <c r="I5" t="str">
        <f t="shared" si="1"/>
        <v>HIGH</v>
      </c>
      <c r="J5">
        <f>VLOOKUP(C5,Sheet3!$A$2:$B$7,2,0)</f>
        <v>150000.0</v>
      </c>
    </row>
    <row r="6" spans="8:8">
      <c r="A6" s="10">
        <v>46120.0</v>
      </c>
      <c r="B6" t="s">
        <v>36</v>
      </c>
      <c r="C6" t="s">
        <v>12</v>
      </c>
      <c r="D6" t="s">
        <v>35</v>
      </c>
      <c r="E6">
        <v>1.0</v>
      </c>
      <c r="F6">
        <v>450000.0</v>
      </c>
      <c r="G6" t="s">
        <v>13</v>
      </c>
      <c r="H6">
        <f t="shared" si="0"/>
        <v>450000.0</v>
      </c>
      <c r="I6" t="str">
        <f t="shared" si="1"/>
        <v>HIGH</v>
      </c>
      <c r="J6">
        <f>VLOOKUP(C6,Sheet3!$A$2:$B$7,2,0)</f>
        <v>450000.0</v>
      </c>
    </row>
    <row r="7" spans="8:8">
      <c r="A7" s="10">
        <v>46150.0</v>
      </c>
      <c r="B7" t="s">
        <v>31</v>
      </c>
      <c r="C7" t="s">
        <v>9</v>
      </c>
      <c r="D7" t="s">
        <v>32</v>
      </c>
      <c r="E7">
        <v>15.0</v>
      </c>
      <c r="F7">
        <v>1500.0</v>
      </c>
      <c r="G7" t="s">
        <v>11</v>
      </c>
      <c r="H7">
        <f t="shared" si="0"/>
        <v>22500.0</v>
      </c>
      <c r="I7" t="str">
        <f t="shared" si="1"/>
        <v>LOW</v>
      </c>
      <c r="J7">
        <f>VLOOKUP(C7,Sheet3!$A$2:$B$7,2,0)</f>
        <v>1500.0</v>
      </c>
    </row>
    <row r="8" spans="8:8">
      <c r="A8" s="10">
        <v>46181.0</v>
      </c>
      <c r="B8" t="s">
        <v>33</v>
      </c>
      <c r="C8" t="s">
        <v>15</v>
      </c>
      <c r="D8" t="s">
        <v>35</v>
      </c>
      <c r="E8">
        <v>3.0</v>
      </c>
      <c r="F8">
        <v>120000.0</v>
      </c>
      <c r="G8" t="s">
        <v>10</v>
      </c>
      <c r="H8">
        <f t="shared" si="0"/>
        <v>360000.0</v>
      </c>
      <c r="I8" t="str">
        <f t="shared" si="1"/>
        <v>HIGH</v>
      </c>
      <c r="J8">
        <f>VLOOKUP(C8,Sheet3!$A$2:$B$7,2,0)</f>
        <v>150000.0</v>
      </c>
    </row>
    <row r="9" spans="8:8">
      <c r="A9" s="10">
        <v>46211.0</v>
      </c>
      <c r="B9" t="s">
        <v>34</v>
      </c>
      <c r="C9" t="s">
        <v>18</v>
      </c>
      <c r="D9" t="s">
        <v>32</v>
      </c>
      <c r="E9">
        <v>8.0</v>
      </c>
      <c r="F9">
        <v>25000.0</v>
      </c>
      <c r="G9" t="s">
        <v>13</v>
      </c>
      <c r="H9">
        <f t="shared" si="0"/>
        <v>200000.0</v>
      </c>
      <c r="I9" t="str">
        <f t="shared" si="1"/>
        <v>LOW</v>
      </c>
      <c r="J9">
        <f>VLOOKUP(C9,Sheet3!$A$2:$B$7,2,0)</f>
        <v>25000.0</v>
      </c>
    </row>
    <row r="10" spans="8:8">
      <c r="A10" s="10">
        <v>46242.0</v>
      </c>
      <c r="B10" t="s">
        <v>36</v>
      </c>
      <c r="C10" t="s">
        <v>14</v>
      </c>
      <c r="D10" t="s">
        <v>32</v>
      </c>
      <c r="E10">
        <v>12.0</v>
      </c>
      <c r="F10">
        <v>3000.0</v>
      </c>
      <c r="G10" t="s">
        <v>11</v>
      </c>
      <c r="H10">
        <f t="shared" si="0"/>
        <v>36000.0</v>
      </c>
      <c r="I10" t="str">
        <f t="shared" si="1"/>
        <v>LOW</v>
      </c>
      <c r="J10">
        <f>VLOOKUP(C10,Sheet3!$A$2:$B$7,2,0)</f>
        <v>3000.0</v>
      </c>
    </row>
    <row r="11" spans="8:8">
      <c r="A11" s="10">
        <v>46273.0</v>
      </c>
      <c r="B11" t="s">
        <v>31</v>
      </c>
      <c r="C11" t="s">
        <v>12</v>
      </c>
      <c r="D11" t="s">
        <v>35</v>
      </c>
      <c r="E11">
        <v>2.0</v>
      </c>
      <c r="F11">
        <v>450000.0</v>
      </c>
      <c r="G11" t="s">
        <v>11</v>
      </c>
      <c r="H11">
        <f t="shared" si="0"/>
        <v>900000.0</v>
      </c>
      <c r="I11" t="str">
        <f t="shared" si="1"/>
        <v>HIGH</v>
      </c>
      <c r="J11">
        <f>VLOOKUP(C11,Sheet3!$A$2:$B$7,2,0)</f>
        <v>450000.0</v>
      </c>
    </row>
    <row r="12" spans="8:8">
      <c r="A12" s="10">
        <v>46303.0</v>
      </c>
      <c r="B12" t="s">
        <v>33</v>
      </c>
      <c r="C12" t="s">
        <v>9</v>
      </c>
      <c r="D12" t="s">
        <v>32</v>
      </c>
      <c r="E12">
        <v>20.0</v>
      </c>
      <c r="F12">
        <v>1500.0</v>
      </c>
      <c r="G12" t="s">
        <v>10</v>
      </c>
      <c r="H12">
        <f t="shared" si="0"/>
        <v>30000.0</v>
      </c>
      <c r="I12" t="str">
        <f t="shared" si="1"/>
        <v>LOW</v>
      </c>
      <c r="J12">
        <f>VLOOKUP(C12,Sheet3!$A$2:$B$7,2,0)</f>
        <v>1500.0</v>
      </c>
    </row>
    <row r="13" spans="8:8">
      <c r="H13">
        <f>SUM(H2:H11)</f>
        <v>2423500.0</v>
      </c>
    </row>
    <row r="14" spans="8:8">
      <c r="H14">
        <f>AVERAGE(H2:H11)</f>
        <v>269277.77777777775</v>
      </c>
    </row>
    <row r="15" spans="8:8">
      <c r="H15">
        <f>COUNTIF(B3:B12,"JOHN")</f>
        <v>3.0</v>
      </c>
    </row>
    <row r="16" spans="8:8">
      <c r="H16">
        <f>SUMIF(B3:B12,"JOHN",H3:H12)</f>
        <v>1047500.0</v>
      </c>
    </row>
    <row r="17" spans="8:8">
      <c r="H17">
        <f>_xlfn.COUNTIFS(B3:B12,"JOHN",D3:D12,"FOOD")</f>
        <v>2.0</v>
      </c>
    </row>
  </sheetData>
  <sheetProtection sheet="0" formatCells="0" insertHyperlinks="0" autoFilter="0"/>
  <pageMargins left="0.75" right="0.75" top="1.0" bottom="1.0" header="0.5" footer="0.5"/>
  <pageSetup paperSize="1" fitToWidth="0" fitToHeight="0"/>
</worksheet>
</file>

<file path=xl/worksheets/sheet5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selection activeCell="D13" sqref="D13"/>
    </sheetView>
  </sheetViews>
  <sheetFormatPr defaultRowHeight="15.0" defaultColWidth="9"/>
  <cols>
    <col min="1" max="1" customWidth="0" width="10.285156" style="0"/>
    <col min="8" max="8" customWidth="0" width="12.855469" style="0"/>
    <col min="11" max="11" customWidth="0" width="12.855469" style="0"/>
  </cols>
  <sheetData>
    <row r="1" spans="8:8">
      <c r="A1" t="s">
        <v>20</v>
      </c>
      <c r="B1" t="s">
        <v>22</v>
      </c>
      <c r="C1" t="s">
        <v>5</v>
      </c>
      <c r="D1" t="s">
        <v>23</v>
      </c>
      <c r="E1" t="s">
        <v>24</v>
      </c>
      <c r="F1" t="s">
        <v>25</v>
      </c>
      <c r="G1" t="s">
        <v>6</v>
      </c>
      <c r="H1" t="s">
        <v>0</v>
      </c>
    </row>
    <row r="2" spans="8:8">
      <c r="A2" t="s">
        <v>21</v>
      </c>
      <c r="B2" t="s">
        <v>26</v>
      </c>
      <c r="C2" t="s">
        <v>16</v>
      </c>
      <c r="D2" t="s">
        <v>27</v>
      </c>
      <c r="E2" t="s">
        <v>28</v>
      </c>
      <c r="F2" t="s">
        <v>29</v>
      </c>
      <c r="G2" t="s">
        <v>17</v>
      </c>
    </row>
    <row r="3" spans="8:8">
      <c r="A3" s="10">
        <v>46030.0</v>
      </c>
      <c r="B3" t="s">
        <v>31</v>
      </c>
      <c r="C3" t="s">
        <v>18</v>
      </c>
      <c r="D3" t="s">
        <v>32</v>
      </c>
      <c r="E3">
        <v>5.0</v>
      </c>
      <c r="F3">
        <v>25000.0</v>
      </c>
      <c r="G3" t="s">
        <v>11</v>
      </c>
      <c r="H3">
        <f t="shared" si="0" ref="H3:H12">E3*F3</f>
        <v>125000.0</v>
      </c>
      <c r="I3" t="str">
        <f t="shared" si="1" ref="I3:I12">IF(H3&gt;=300000,"HIGH","LOW")</f>
        <v>LOW</v>
      </c>
    </row>
    <row r="4" spans="8:8">
      <c r="A4" s="10">
        <v>46061.0</v>
      </c>
      <c r="B4" t="s">
        <v>33</v>
      </c>
      <c r="C4" t="s">
        <v>14</v>
      </c>
      <c r="D4" t="s">
        <v>32</v>
      </c>
      <c r="E4">
        <v>10.0</v>
      </c>
      <c r="F4">
        <v>3000.0</v>
      </c>
      <c r="G4" t="s">
        <v>10</v>
      </c>
      <c r="H4">
        <f t="shared" si="0"/>
        <v>30000.0</v>
      </c>
      <c r="I4" t="str">
        <f t="shared" si="1"/>
        <v>LOW</v>
      </c>
    </row>
    <row r="5" spans="8:8">
      <c r="A5" s="10">
        <v>46089.0</v>
      </c>
      <c r="B5" t="s">
        <v>34</v>
      </c>
      <c r="C5" t="s">
        <v>15</v>
      </c>
      <c r="D5" t="s">
        <v>35</v>
      </c>
      <c r="E5">
        <v>2.0</v>
      </c>
      <c r="F5">
        <v>150000.0</v>
      </c>
      <c r="G5" t="s">
        <v>11</v>
      </c>
      <c r="H5">
        <f t="shared" si="0"/>
        <v>300000.0</v>
      </c>
      <c r="I5" t="str">
        <f t="shared" si="1"/>
        <v>HIGH</v>
      </c>
    </row>
    <row r="6" spans="8:8">
      <c r="A6" s="10">
        <v>46120.0</v>
      </c>
      <c r="B6" t="s">
        <v>36</v>
      </c>
      <c r="C6" t="s">
        <v>12</v>
      </c>
      <c r="D6" t="s">
        <v>35</v>
      </c>
      <c r="E6">
        <v>1.0</v>
      </c>
      <c r="F6">
        <v>450000.0</v>
      </c>
      <c r="G6" t="s">
        <v>13</v>
      </c>
      <c r="H6">
        <f t="shared" si="0"/>
        <v>450000.0</v>
      </c>
      <c r="I6" t="str">
        <f t="shared" si="1"/>
        <v>HIGH</v>
      </c>
    </row>
    <row r="7" spans="8:8">
      <c r="A7" s="10">
        <v>46150.0</v>
      </c>
      <c r="B7" t="s">
        <v>31</v>
      </c>
      <c r="C7" t="s">
        <v>9</v>
      </c>
      <c r="D7" t="s">
        <v>32</v>
      </c>
      <c r="E7">
        <v>15.0</v>
      </c>
      <c r="F7">
        <v>1500.0</v>
      </c>
      <c r="G7" t="s">
        <v>11</v>
      </c>
      <c r="H7">
        <f t="shared" si="0"/>
        <v>22500.0</v>
      </c>
      <c r="I7" t="str">
        <f t="shared" si="1"/>
        <v>LOW</v>
      </c>
    </row>
    <row r="8" spans="8:8">
      <c r="A8" s="10">
        <v>46181.0</v>
      </c>
      <c r="B8" t="s">
        <v>33</v>
      </c>
      <c r="C8" t="s">
        <v>15</v>
      </c>
      <c r="D8" t="s">
        <v>35</v>
      </c>
      <c r="E8">
        <v>3.0</v>
      </c>
      <c r="F8">
        <v>120000.0</v>
      </c>
      <c r="G8" t="s">
        <v>10</v>
      </c>
      <c r="H8">
        <f t="shared" si="0"/>
        <v>360000.0</v>
      </c>
      <c r="I8" t="str">
        <f t="shared" si="1"/>
        <v>HIGH</v>
      </c>
    </row>
    <row r="9" spans="8:8">
      <c r="A9" s="10">
        <v>46211.0</v>
      </c>
      <c r="B9" t="s">
        <v>34</v>
      </c>
      <c r="C9" t="s">
        <v>18</v>
      </c>
      <c r="D9" t="s">
        <v>32</v>
      </c>
      <c r="E9">
        <v>8.0</v>
      </c>
      <c r="F9">
        <v>25000.0</v>
      </c>
      <c r="G9" t="s">
        <v>13</v>
      </c>
      <c r="H9">
        <f t="shared" si="0"/>
        <v>200000.0</v>
      </c>
      <c r="I9" t="str">
        <f t="shared" si="1"/>
        <v>LOW</v>
      </c>
    </row>
    <row r="10" spans="8:8">
      <c r="A10" s="10">
        <v>46242.0</v>
      </c>
      <c r="B10" t="s">
        <v>36</v>
      </c>
      <c r="C10" t="s">
        <v>14</v>
      </c>
      <c r="D10" t="s">
        <v>32</v>
      </c>
      <c r="E10">
        <v>12.0</v>
      </c>
      <c r="F10">
        <v>3000.0</v>
      </c>
      <c r="G10" t="s">
        <v>11</v>
      </c>
      <c r="H10">
        <f t="shared" si="0"/>
        <v>36000.0</v>
      </c>
      <c r="I10" t="str">
        <f t="shared" si="1"/>
        <v>LOW</v>
      </c>
    </row>
    <row r="11" spans="8:8">
      <c r="A11" s="10">
        <v>46273.0</v>
      </c>
      <c r="B11" t="s">
        <v>31</v>
      </c>
      <c r="C11" t="s">
        <v>12</v>
      </c>
      <c r="D11" t="s">
        <v>35</v>
      </c>
      <c r="E11">
        <v>2.0</v>
      </c>
      <c r="F11">
        <v>450000.0</v>
      </c>
      <c r="G11" t="s">
        <v>11</v>
      </c>
      <c r="H11">
        <f t="shared" si="0"/>
        <v>900000.0</v>
      </c>
      <c r="I11" t="str">
        <f t="shared" si="1"/>
        <v>HIGH</v>
      </c>
    </row>
    <row r="12" spans="8:8">
      <c r="A12" s="10">
        <v>46303.0</v>
      </c>
      <c r="B12" t="s">
        <v>33</v>
      </c>
      <c r="C12" t="s">
        <v>9</v>
      </c>
      <c r="D12" t="s">
        <v>32</v>
      </c>
      <c r="E12">
        <v>20.0</v>
      </c>
      <c r="F12">
        <v>1500.0</v>
      </c>
      <c r="G12" t="s">
        <v>10</v>
      </c>
      <c r="H12">
        <f t="shared" si="0"/>
        <v>30000.0</v>
      </c>
      <c r="I12" t="str">
        <f t="shared" si="1"/>
        <v>LOW</v>
      </c>
    </row>
    <row r="13" spans="8:8">
      <c r="H13">
        <f>SUM(H2:H11)</f>
        <v>2423500.0</v>
      </c>
    </row>
    <row r="14" spans="8:8">
      <c r="H14">
        <f>AVERAGE(H2:H11)</f>
        <v>269277.77777777775</v>
      </c>
    </row>
    <row r="15" spans="8:8">
      <c r="H15">
        <f>COUNTIF(B3:B12,"JOHN")</f>
        <v>3.0</v>
      </c>
    </row>
    <row r="16" spans="8:8">
      <c r="H16">
        <f>SUMIF(B3:B12,"JOHN",H3:H12)</f>
        <v>1047500.0</v>
      </c>
    </row>
    <row r="17" spans="8:8">
      <c r="H17">
        <f>_xlfn.COUNTIFS(B3:B12,"JOHN",D3:D12,"FOOD")</f>
        <v>2.0</v>
      </c>
    </row>
  </sheetData>
  <sheetProtection sheet="0" formatCells="0" insertHyperlinks="0" autoFilter="0"/>
  <pageMargins left="0.75" right="0.75" top="1.0" bottom="1.0" header="0.5" footer="0.5"/>
  <pageSetup paperSize="1" fitToWidth="0" fitToHeight="0"/>
</worksheet>
</file>

<file path=xl/worksheets/sheet6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L2" sqref="L2"/>
    </sheetView>
  </sheetViews>
  <sheetFormatPr defaultRowHeight="15.0" defaultColWidth="9" outlineLevelCol="1" outlineLevelRow="6"/>
  <sheetData>
    <row r="1" spans="8:8">
      <c r="A1" t="s">
        <v>37</v>
      </c>
      <c r="B1" t="s">
        <v>38</v>
      </c>
    </row>
    <row r="2" spans="8:8">
      <c r="A2" t="s">
        <v>16</v>
      </c>
      <c r="B2" t="s">
        <v>30</v>
      </c>
    </row>
    <row r="3" spans="8:8">
      <c r="A3" t="s">
        <v>18</v>
      </c>
      <c r="B3">
        <v>25000.0</v>
      </c>
    </row>
    <row r="4" spans="8:8">
      <c r="A4" t="s">
        <v>14</v>
      </c>
      <c r="B4">
        <v>3000.0</v>
      </c>
    </row>
    <row r="5" spans="8:8">
      <c r="A5" t="s">
        <v>15</v>
      </c>
      <c r="B5">
        <v>150000.0</v>
      </c>
    </row>
    <row r="6" spans="8:8">
      <c r="A6" t="s">
        <v>12</v>
      </c>
      <c r="B6">
        <v>450000.0</v>
      </c>
    </row>
    <row r="7" spans="8:8">
      <c r="A7" t="s">
        <v>9</v>
      </c>
      <c r="B7">
        <v>1500.0</v>
      </c>
    </row>
  </sheetData>
  <sheetProtection sheet="0" formatCells="0" insertHyperlinks="0" autoFilter="0"/>
  <pageMargins left="0.75" right="0.75" top="1.0" bottom="1.0" header="0.5" footer="0.5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/>
    <woSheetProps sheetStid="5" interlineOnOff="0" interlineColor="0" isDbSheet="0"/>
    <woSheetProps sheetStid="6" interlineOnOff="0" interlineColor="0" isDbSheet="0"/>
    <woSheetProps sheetStid="1" interlineOnOff="0" interlineColor="0" isDbSheet="0"/>
    <woSheetProps sheetStid="4" interlineOnOff="0" interlineColor="0" isDbSheet="0"/>
    <woSheetProps sheetStid="3" interlineOnOff="0" interlineColor="0" isDbSheet="0"/>
  </woSheetsProps>
  <woBookProps>
    <bookSettings isFilterShared="1" isAutoUpdatePaused="0" filterType="conn" isMergeTasksAutoUpdate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Ajewole Praise</cp:lastModifiedBy>
  <dcterms:created xsi:type="dcterms:W3CDTF">2026-08-21T08:32:00Z</dcterms:created>
  <dcterms:modified xsi:type="dcterms:W3CDTF">2026-08-25T08:35:46Z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KSOReadingLayout">
    <vt:bool>true</vt:bool>
  </property>
  <property fmtid="{D5CDD505-2E9C-101B-9397-08002B2CF9AE}" pid="4" name="ICV">
    <vt:lpwstr>06A4FCF71708401F80227BFBFB6B1CE9_13</vt:lpwstr>
  </property>
  <property fmtid="{D5CDD505-2E9C-101B-9397-08002B2CF9AE}" pid="5" name="KSOProductBuildVer">
    <vt:lpwstr>1033-12.1.0.27458</vt:lpwstr>
  </property>
</Properties>
</file>